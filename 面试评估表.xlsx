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总表" sheetId="1" r:id="rId1"/>
    <sheet name="单人评价页" sheetId="2" r:id="rId2"/>
  </sheets>
</workbook>
</file>

<file path=xl/sharedStrings.xml><?xml version="1.0" encoding="utf-8"?>
<sst xmlns="http://schemas.openxmlformats.org/spreadsheetml/2006/main" count="48" uniqueCount="48">
  <si>
    <t>排名</t>
  </si>
  <si>
    <t>候选人</t>
  </si>
  <si>
    <t>应聘岗位</t>
  </si>
  <si>
    <t>当前公司</t>
  </si>
  <si>
    <t>工作年限</t>
  </si>
  <si>
    <t>专业能力(40)</t>
  </si>
  <si>
    <t>沟通表达(25)</t>
  </si>
  <si>
    <t>组织协调(20)</t>
  </si>
  <si>
    <t>责任心(10)</t>
  </si>
  <si>
    <t>文化匹配(5)</t>
  </si>
  <si>
    <t>稳定性(5)</t>
  </si>
  <si>
    <t>总分</t>
  </si>
  <si>
    <t>面试结论</t>
  </si>
  <si>
    <t>面试候选人评价表</t>
  </si>
  <si>
    <t>候选人姓名：</t>
  </si>
  <si>
    <t>应聘岗位：</t>
  </si>
  <si>
    <t>面试日期：</t>
  </si>
  <si>
    <t>评价维度</t>
  </si>
  <si>
    <t>评分(0~10)</t>
  </si>
  <si>
    <t>评价说明</t>
  </si>
  <si>
    <t>文书处理能力</t>
  </si>
  <si>
    <t>考察公文写作、材料整理、文档格式规范等能力</t>
  </si>
  <si>
    <t>沟通协调能力</t>
  </si>
  <si>
    <t>考察语言表达、沟通技巧、协调各方关系的能力</t>
  </si>
  <si>
    <t>组织安排能力</t>
  </si>
  <si>
    <t>考察工作计划制定、任务分配、流程管理能力</t>
  </si>
  <si>
    <t>时间管理能力</t>
  </si>
  <si>
    <t>考察时间规划、优先级判断、多任务处理能力</t>
  </si>
  <si>
    <t>责任心与执行力</t>
  </si>
  <si>
    <t>考察工作态度、任务完成度、主动承担意识</t>
  </si>
  <si>
    <t>适应力与学习力</t>
  </si>
  <si>
    <t>考察对新环境/新任务的适应速度和学习意愿</t>
  </si>
  <si>
    <t>团队协作能力</t>
  </si>
  <si>
    <t>考察团队合作意识、配合度、共同目标感</t>
  </si>
  <si>
    <t>企业文化匹配度</t>
  </si>
  <si>
    <t>考察价值观、工作风格与公司文化的契合程度</t>
  </si>
  <si>
    <t>稳定性/职业规划匹配</t>
  </si>
  <si>
    <t>考察职业规划清晰度、岗位匹配度、长期稳定意愿</t>
  </si>
  <si>
    <t>稳定性评估（HR模块）</t>
  </si>
  <si>
    <t>HR综合评估候选人的稳定性风险</t>
  </si>
  <si>
    <t>执行力评估（HR模块）</t>
  </si>
  <si>
    <t>HR综合评估候选人的执行力水平</t>
  </si>
  <si>
    <t>办公技能评估（HR模块）</t>
  </si>
  <si>
    <t>HR评估Office/OA系统等办公软件熟练度</t>
  </si>
  <si>
    <t>合计得分</t>
  </si>
  <si>
    <t>综合评语：</t>
  </si>
  <si>
    <t>面试官签名：</t>
  </si>
  <si>
    <t>日期：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</si>
</sst>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6" customWidth="1"/>
    <col min="2" max="2" width="12" customWidth="1"/>
    <col min="3" max="3" width="14" customWidth="1"/>
    <col min="4" max="4" width="14" customWidth="1"/>
    <col min="5" max="5" width="10" customWidth="1"/>
    <col min="6" max="6" width="14" customWidth="1"/>
    <col min="7" max="7" width="14" customWidth="1"/>
    <col min="8" max="8" width="14" customWidth="1"/>
    <col min="9" max="9" width="12" customWidth="1"/>
    <col min="10" max="10" width="12" customWidth="1"/>
    <col min="11" max="11" width="12" customWidth="1"/>
    <col min="12" max="12" width="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f>RANK(L2,$L$2:$L$20,0)</f>
      </c>
      <c r="B2" s="2"/>
      <c r="C2" s="2"/>
      <c r="D2" s="2"/>
      <c r="E2" s="2"/>
      <c r="F2" s="2">
        <f>'单人评价页'!B4+'单人评价页'!B6+'单人评价页'!B7</f>
      </c>
      <c r="G2" s="2">
        <f>'单人评价页'!B5+'单人评价页'!B8</f>
      </c>
      <c r="H2" s="2">
        <f>'单人评价页'!B6+'单人评价页'!B12</f>
      </c>
      <c r="I2" s="2">
        <f>'单人评价页'!B7</f>
      </c>
      <c r="J2" s="2">
        <f>'单人评价页'!B8</f>
      </c>
      <c r="K2" s="2">
        <f>'单人评价页'!B9+'单人评价页'!B10</f>
      </c>
      <c r="L2" s="2">
        <f>SUM(F2:K2)</f>
      </c>
      <c r="M2" s="2">
        <f>IF(L2&gt;=90,"强烈推荐",IF(L2&gt;=80,"推荐录用",IF(L2&gt;=70,"保留观察","不推荐")))</f>
      </c>
    </row>
    <row r="3">
      <c r="A3" s="2">
        <f>RANK(L3,$L$2:$L$20,0)</f>
      </c>
      <c r="B3" s="2"/>
      <c r="C3" s="2"/>
      <c r="D3" s="2"/>
      <c r="E3" s="2"/>
      <c r="F3" s="2">
        <f>'单人评价页'!B4+'单人评价页'!B6+'单人评价页'!B7</f>
      </c>
      <c r="G3" s="2">
        <f>'单人评价页'!B5+'单人评价页'!B8</f>
      </c>
      <c r="H3" s="2">
        <f>'单人评价页'!B6+'单人评价页'!B12</f>
      </c>
      <c r="I3" s="2">
        <f>'单人评价页'!B7</f>
      </c>
      <c r="J3" s="2">
        <f>'单人评价页'!B8</f>
      </c>
      <c r="K3" s="2">
        <f>'单人评价页'!B9+'单人评价页'!B10</f>
      </c>
      <c r="L3" s="2">
        <f>SUM(F3:K3)</f>
      </c>
      <c r="M3" s="2">
        <f>IF(L3&gt;=90,"强烈推荐",IF(L3&gt;=80,"推荐录用",IF(L3&gt;=70,"保留观察","不推荐")))</f>
      </c>
    </row>
    <row r="4">
      <c r="A4" s="2">
        <f>RANK(L4,$L$2:$L$20,0)</f>
      </c>
      <c r="B4" s="2"/>
      <c r="C4" s="2"/>
      <c r="D4" s="2"/>
      <c r="E4" s="2"/>
      <c r="F4" s="2">
        <f>'单人评价页'!B4+'单人评价页'!B6+'单人评价页'!B7</f>
      </c>
      <c r="G4" s="2">
        <f>'单人评价页'!B5+'单人评价页'!B8</f>
      </c>
      <c r="H4" s="2">
        <f>'单人评价页'!B6+'单人评价页'!B12</f>
      </c>
      <c r="I4" s="2">
        <f>'单人评价页'!B7</f>
      </c>
      <c r="J4" s="2">
        <f>'单人评价页'!B8</f>
      </c>
      <c r="K4" s="2">
        <f>'单人评价页'!B9+'单人评价页'!B10</f>
      </c>
      <c r="L4" s="2">
        <f>SUM(F4:K4)</f>
      </c>
      <c r="M4" s="2">
        <f>IF(L4&gt;=90,"强烈推荐",IF(L4&gt;=80,"推荐录用",IF(L4&gt;=70,"保留观察","不推荐")))</f>
      </c>
    </row>
    <row r="5">
      <c r="A5" s="2">
        <f>RANK(L5,$L$2:$L$20,0)</f>
      </c>
      <c r="B5" s="2"/>
      <c r="C5" s="2"/>
      <c r="D5" s="2"/>
      <c r="E5" s="2"/>
      <c r="F5" s="2">
        <f>'单人评价页'!B4+'单人评价页'!B6+'单人评价页'!B7</f>
      </c>
      <c r="G5" s="2">
        <f>'单人评价页'!B5+'单人评价页'!B8</f>
      </c>
      <c r="H5" s="2">
        <f>'单人评价页'!B6+'单人评价页'!B12</f>
      </c>
      <c r="I5" s="2">
        <f>'单人评价页'!B7</f>
      </c>
      <c r="J5" s="2">
        <f>'单人评价页'!B8</f>
      </c>
      <c r="K5" s="2">
        <f>'单人评价页'!B9+'单人评价页'!B10</f>
      </c>
      <c r="L5" s="2">
        <f>SUM(F5:K5)</f>
      </c>
      <c r="M5" s="2">
        <f>IF(L5&gt;=90,"强烈推荐",IF(L5&gt;=80,"推荐录用",IF(L5&gt;=70,"保留观察","不推荐")))</f>
      </c>
    </row>
    <row r="6">
      <c r="A6" s="2">
        <f>RANK(L6,$L$2:$L$20,0)</f>
      </c>
      <c r="B6" s="2"/>
      <c r="C6" s="2"/>
      <c r="D6" s="2"/>
      <c r="E6" s="2"/>
      <c r="F6" s="2">
        <f>'单人评价页'!B4+'单人评价页'!B6+'单人评价页'!B7</f>
      </c>
      <c r="G6" s="2">
        <f>'单人评价页'!B5+'单人评价页'!B8</f>
      </c>
      <c r="H6" s="2">
        <f>'单人评价页'!B6+'单人评价页'!B12</f>
      </c>
      <c r="I6" s="2">
        <f>'单人评价页'!B7</f>
      </c>
      <c r="J6" s="2">
        <f>'单人评价页'!B8</f>
      </c>
      <c r="K6" s="2">
        <f>'单人评价页'!B9+'单人评价页'!B10</f>
      </c>
      <c r="L6" s="2">
        <f>SUM(F6:K6)</f>
      </c>
      <c r="M6" s="2">
        <f>IF(L6&gt;=90,"强烈推荐",IF(L6&gt;=80,"推荐录用",IF(L6&gt;=70,"保留观察","不推荐")))</f>
      </c>
    </row>
    <row r="7">
      <c r="A7" s="2">
        <f>RANK(L7,$L$2:$L$20,0)</f>
      </c>
      <c r="B7" s="2"/>
      <c r="C7" s="2"/>
      <c r="D7" s="2"/>
      <c r="E7" s="2"/>
      <c r="F7" s="2">
        <f>'单人评价页'!B4+'单人评价页'!B6+'单人评价页'!B7</f>
      </c>
      <c r="G7" s="2">
        <f>'单人评价页'!B5+'单人评价页'!B8</f>
      </c>
      <c r="H7" s="2">
        <f>'单人评价页'!B6+'单人评价页'!B12</f>
      </c>
      <c r="I7" s="2">
        <f>'单人评价页'!B7</f>
      </c>
      <c r="J7" s="2">
        <f>'单人评价页'!B8</f>
      </c>
      <c r="K7" s="2">
        <f>'单人评价页'!B9+'单人评价页'!B10</f>
      </c>
      <c r="L7" s="2">
        <f>SUM(F7:K7)</f>
      </c>
      <c r="M7" s="2">
        <f>IF(L7&gt;=90,"强烈推荐",IF(L7&gt;=80,"推荐录用",IF(L7&gt;=70,"保留观察","不推荐")))</f>
      </c>
    </row>
    <row r="8">
      <c r="A8" s="2">
        <f>RANK(L8,$L$2:$L$20,0)</f>
      </c>
      <c r="B8" s="2"/>
      <c r="C8" s="2"/>
      <c r="D8" s="2"/>
      <c r="E8" s="2"/>
      <c r="F8" s="2">
        <f>'单人评价页'!B4+'单人评价页'!B6+'单人评价页'!B7</f>
      </c>
      <c r="G8" s="2">
        <f>'单人评价页'!B5+'单人评价页'!B8</f>
      </c>
      <c r="H8" s="2">
        <f>'单人评价页'!B6+'单人评价页'!B12</f>
      </c>
      <c r="I8" s="2">
        <f>'单人评价页'!B7</f>
      </c>
      <c r="J8" s="2">
        <f>'单人评价页'!B8</f>
      </c>
      <c r="K8" s="2">
        <f>'单人评价页'!B9+'单人评价页'!B10</f>
      </c>
      <c r="L8" s="2">
        <f>SUM(F8:K8)</f>
      </c>
      <c r="M8" s="2">
        <f>IF(L8&gt;=90,"强烈推荐",IF(L8&gt;=80,"推荐录用",IF(L8&gt;=70,"保留观察","不推荐")))</f>
      </c>
    </row>
    <row r="9">
      <c r="A9" s="2">
        <f>RANK(L9,$L$2:$L$20,0)</f>
      </c>
      <c r="B9" s="2"/>
      <c r="C9" s="2"/>
      <c r="D9" s="2"/>
      <c r="E9" s="2"/>
      <c r="F9" s="2">
        <f>'单人评价页'!B4+'单人评价页'!B6+'单人评价页'!B7</f>
      </c>
      <c r="G9" s="2">
        <f>'单人评价页'!B5+'单人评价页'!B8</f>
      </c>
      <c r="H9" s="2">
        <f>'单人评价页'!B6+'单人评价页'!B12</f>
      </c>
      <c r="I9" s="2">
        <f>'单人评价页'!B7</f>
      </c>
      <c r="J9" s="2">
        <f>'单人评价页'!B8</f>
      </c>
      <c r="K9" s="2">
        <f>'单人评价页'!B9+'单人评价页'!B10</f>
      </c>
      <c r="L9" s="2">
        <f>SUM(F9:K9)</f>
      </c>
      <c r="M9" s="2">
        <f>IF(L9&gt;=90,"强烈推荐",IF(L9&gt;=80,"推荐录用",IF(L9&gt;=70,"保留观察","不推荐")))</f>
      </c>
    </row>
    <row r="10">
      <c r="A10" s="2">
        <f>RANK(L10,$L$2:$L$20,0)</f>
      </c>
      <c r="B10" s="2"/>
      <c r="C10" s="2"/>
      <c r="D10" s="2"/>
      <c r="E10" s="2"/>
      <c r="F10" s="2">
        <f>'单人评价页'!B4+'单人评价页'!B6+'单人评价页'!B7</f>
      </c>
      <c r="G10" s="2">
        <f>'单人评价页'!B5+'单人评价页'!B8</f>
      </c>
      <c r="H10" s="2">
        <f>'单人评价页'!B6+'单人评价页'!B12</f>
      </c>
      <c r="I10" s="2">
        <f>'单人评价页'!B7</f>
      </c>
      <c r="J10" s="2">
        <f>'单人评价页'!B8</f>
      </c>
      <c r="K10" s="2">
        <f>'单人评价页'!B9+'单人评价页'!B10</f>
      </c>
      <c r="L10" s="2">
        <f>SUM(F10:K10)</f>
      </c>
      <c r="M10" s="2">
        <f>IF(L10&gt;=90,"强烈推荐",IF(L10&gt;=80,"推荐录用",IF(L10&gt;=70,"保留观察","不推荐")))</f>
      </c>
    </row>
    <row r="11">
      <c r="A11" s="2">
        <f>RANK(L11,$L$2:$L$20,0)</f>
      </c>
      <c r="B11" s="2"/>
      <c r="C11" s="2"/>
      <c r="D11" s="2"/>
      <c r="E11" s="2"/>
      <c r="F11" s="2">
        <f>'单人评价页'!B4+'单人评价页'!B6+'单人评价页'!B7</f>
      </c>
      <c r="G11" s="2">
        <f>'单人评价页'!B5+'单人评价页'!B8</f>
      </c>
      <c r="H11" s="2">
        <f>'单人评价页'!B6+'单人评价页'!B12</f>
      </c>
      <c r="I11" s="2">
        <f>'单人评价页'!B7</f>
      </c>
      <c r="J11" s="2">
        <f>'单人评价页'!B8</f>
      </c>
      <c r="K11" s="2">
        <f>'单人评价页'!B9+'单人评价页'!B10</f>
      </c>
      <c r="L11" s="2">
        <f>SUM(F11:K11)</f>
      </c>
      <c r="M11" s="2">
        <f>IF(L11&gt;=90,"强烈推荐",IF(L11&gt;=80,"推荐录用",IF(L11&gt;=70,"保留观察","不推荐")))</f>
      </c>
    </row>
    <row r="12">
      <c r="A12" s="2">
        <f>RANK(L12,$L$2:$L$20,0)</f>
      </c>
      <c r="B12" s="2"/>
      <c r="C12" s="2"/>
      <c r="D12" s="2"/>
      <c r="E12" s="2"/>
      <c r="F12" s="2">
        <f>'单人评价页'!B4+'单人评价页'!B6+'单人评价页'!B7</f>
      </c>
      <c r="G12" s="2">
        <f>'单人评价页'!B5+'单人评价页'!B8</f>
      </c>
      <c r="H12" s="2">
        <f>'单人评价页'!B6+'单人评价页'!B12</f>
      </c>
      <c r="I12" s="2">
        <f>'单人评价页'!B7</f>
      </c>
      <c r="J12" s="2">
        <f>'单人评价页'!B8</f>
      </c>
      <c r="K12" s="2">
        <f>'单人评价页'!B9+'单人评价页'!B10</f>
      </c>
      <c r="L12" s="2">
        <f>SUM(F12:K12)</f>
      </c>
      <c r="M12" s="2">
        <f>IF(L12&gt;=90,"强烈推荐",IF(L12&gt;=80,"推荐录用",IF(L12&gt;=70,"保留观察","不推荐")))</f>
      </c>
    </row>
    <row r="13">
      <c r="A13" s="2">
        <f>RANK(L13,$L$2:$L$20,0)</f>
      </c>
      <c r="B13" s="2"/>
      <c r="C13" s="2"/>
      <c r="D13" s="2"/>
      <c r="E13" s="2"/>
      <c r="F13" s="2">
        <f>'单人评价页'!B4+'单人评价页'!B6+'单人评价页'!B7</f>
      </c>
      <c r="G13" s="2">
        <f>'单人评价页'!B5+'单人评价页'!B8</f>
      </c>
      <c r="H13" s="2">
        <f>'单人评价页'!B6+'单人评价页'!B12</f>
      </c>
      <c r="I13" s="2">
        <f>'单人评价页'!B7</f>
      </c>
      <c r="J13" s="2">
        <f>'单人评价页'!B8</f>
      </c>
      <c r="K13" s="2">
        <f>'单人评价页'!B9+'单人评价页'!B10</f>
      </c>
      <c r="L13" s="2">
        <f>SUM(F13:K13)</f>
      </c>
      <c r="M13" s="2">
        <f>IF(L13&gt;=90,"强烈推荐",IF(L13&gt;=80,"推荐录用",IF(L13&gt;=70,"保留观察","不推荐")))</f>
      </c>
    </row>
    <row r="14">
      <c r="A14" s="2">
        <f>RANK(L14,$L$2:$L$20,0)</f>
      </c>
      <c r="B14" s="2"/>
      <c r="C14" s="2"/>
      <c r="D14" s="2"/>
      <c r="E14" s="2"/>
      <c r="F14" s="2">
        <f>'单人评价页'!B4+'单人评价页'!B6+'单人评价页'!B7</f>
      </c>
      <c r="G14" s="2">
        <f>'单人评价页'!B5+'单人评价页'!B8</f>
      </c>
      <c r="H14" s="2">
        <f>'单人评价页'!B6+'单人评价页'!B12</f>
      </c>
      <c r="I14" s="2">
        <f>'单人评价页'!B7</f>
      </c>
      <c r="J14" s="2">
        <f>'单人评价页'!B8</f>
      </c>
      <c r="K14" s="2">
        <f>'单人评价页'!B9+'单人评价页'!B10</f>
      </c>
      <c r="L14" s="2">
        <f>SUM(F14:K14)</f>
      </c>
      <c r="M14" s="2">
        <f>IF(L14&gt;=90,"强烈推荐",IF(L14&gt;=80,"推荐录用",IF(L14&gt;=70,"保留观察","不推荐")))</f>
      </c>
    </row>
    <row r="15">
      <c r="A15" s="2">
        <f>RANK(L15,$L$2:$L$20,0)</f>
      </c>
      <c r="B15" s="2"/>
      <c r="C15" s="2"/>
      <c r="D15" s="2"/>
      <c r="E15" s="2"/>
      <c r="F15" s="2">
        <f>'单人评价页'!B4+'单人评价页'!B6+'单人评价页'!B7</f>
      </c>
      <c r="G15" s="2">
        <f>'单人评价页'!B5+'单人评价页'!B8</f>
      </c>
      <c r="H15" s="2">
        <f>'单人评价页'!B6+'单人评价页'!B12</f>
      </c>
      <c r="I15" s="2">
        <f>'单人评价页'!B7</f>
      </c>
      <c r="J15" s="2">
        <f>'单人评价页'!B8</f>
      </c>
      <c r="K15" s="2">
        <f>'单人评价页'!B9+'单人评价页'!B10</f>
      </c>
      <c r="L15" s="2">
        <f>SUM(F15:K15)</f>
      </c>
      <c r="M15" s="2">
        <f>IF(L15&gt;=90,"强烈推荐",IF(L15&gt;=80,"推荐录用",IF(L15&gt;=70,"保留观察","不推荐")))</f>
      </c>
    </row>
    <row r="16">
      <c r="A16" s="2">
        <f>RANK(L16,$L$2:$L$20,0)</f>
      </c>
      <c r="B16" s="2"/>
      <c r="C16" s="2"/>
      <c r="D16" s="2"/>
      <c r="E16" s="2"/>
      <c r="F16" s="2">
        <f>'单人评价页'!B4+'单人评价页'!B6+'单人评价页'!B7</f>
      </c>
      <c r="G16" s="2">
        <f>'单人评价页'!B5+'单人评价页'!B8</f>
      </c>
      <c r="H16" s="2">
        <f>'单人评价页'!B6+'单人评价页'!B12</f>
      </c>
      <c r="I16" s="2">
        <f>'单人评价页'!B7</f>
      </c>
      <c r="J16" s="2">
        <f>'单人评价页'!B8</f>
      </c>
      <c r="K16" s="2">
        <f>'单人评价页'!B9+'单人评价页'!B10</f>
      </c>
      <c r="L16" s="2">
        <f>SUM(F16:K16)</f>
      </c>
      <c r="M16" s="2">
        <f>IF(L16&gt;=90,"强烈推荐",IF(L16&gt;=80,"推荐录用",IF(L16&gt;=70,"保留观察","不推荐")))</f>
      </c>
    </row>
    <row r="17">
      <c r="A17" s="2">
        <f>RANK(L17,$L$2:$L$20,0)</f>
      </c>
      <c r="B17" s="2"/>
      <c r="C17" s="2"/>
      <c r="D17" s="2"/>
      <c r="E17" s="2"/>
      <c r="F17" s="2">
        <f>'单人评价页'!B4+'单人评价页'!B6+'单人评价页'!B7</f>
      </c>
      <c r="G17" s="2">
        <f>'单人评价页'!B5+'单人评价页'!B8</f>
      </c>
      <c r="H17" s="2">
        <f>'单人评价页'!B6+'单人评价页'!B12</f>
      </c>
      <c r="I17" s="2">
        <f>'单人评价页'!B7</f>
      </c>
      <c r="J17" s="2">
        <f>'单人评价页'!B8</f>
      </c>
      <c r="K17" s="2">
        <f>'单人评价页'!B9+'单人评价页'!B10</f>
      </c>
      <c r="L17" s="2">
        <f>SUM(F17:K17)</f>
      </c>
      <c r="M17" s="2">
        <f>IF(L17&gt;=90,"强烈推荐",IF(L17&gt;=80,"推荐录用",IF(L17&gt;=70,"保留观察","不推荐")))</f>
      </c>
    </row>
    <row r="18">
      <c r="A18" s="2">
        <f>RANK(L18,$L$2:$L$20,0)</f>
      </c>
      <c r="B18" s="2"/>
      <c r="C18" s="2"/>
      <c r="D18" s="2"/>
      <c r="E18" s="2"/>
      <c r="F18" s="2">
        <f>'单人评价页'!B4+'单人评价页'!B6+'单人评价页'!B7</f>
      </c>
      <c r="G18" s="2">
        <f>'单人评价页'!B5+'单人评价页'!B8</f>
      </c>
      <c r="H18" s="2">
        <f>'单人评价页'!B6+'单人评价页'!B12</f>
      </c>
      <c r="I18" s="2">
        <f>'单人评价页'!B7</f>
      </c>
      <c r="J18" s="2">
        <f>'单人评价页'!B8</f>
      </c>
      <c r="K18" s="2">
        <f>'单人评价页'!B9+'单人评价页'!B10</f>
      </c>
      <c r="L18" s="2">
        <f>SUM(F18:K18)</f>
      </c>
      <c r="M18" s="2">
        <f>IF(L18&gt;=90,"强烈推荐",IF(L18&gt;=80,"推荐录用",IF(L18&gt;=70,"保留观察","不推荐")))</f>
      </c>
    </row>
    <row r="19">
      <c r="A19" s="2">
        <f>RANK(L19,$L$2:$L$20,0)</f>
      </c>
      <c r="B19" s="2"/>
      <c r="C19" s="2"/>
      <c r="D19" s="2"/>
      <c r="E19" s="2"/>
      <c r="F19" s="2">
        <f>'单人评价页'!B4+'单人评价页'!B6+'单人评价页'!B7</f>
      </c>
      <c r="G19" s="2">
        <f>'单人评价页'!B5+'单人评价页'!B8</f>
      </c>
      <c r="H19" s="2">
        <f>'单人评价页'!B6+'单人评价页'!B12</f>
      </c>
      <c r="I19" s="2">
        <f>'单人评价页'!B7</f>
      </c>
      <c r="J19" s="2">
        <f>'单人评价页'!B8</f>
      </c>
      <c r="K19" s="2">
        <f>'单人评价页'!B9+'单人评价页'!B10</f>
      </c>
      <c r="L19" s="2">
        <f>SUM(F19:K19)</f>
      </c>
      <c r="M19" s="2">
        <f>IF(L19&gt;=90,"强烈推荐",IF(L19&gt;=80,"推荐录用",IF(L19&gt;=70,"保留观察","不推荐")))</f>
      </c>
    </row>
    <row r="20">
      <c r="A20" s="2">
        <f>RANK(L20,$L$2:$L$20,0)</f>
      </c>
      <c r="B20" s="2"/>
      <c r="C20" s="2"/>
      <c r="D20" s="2"/>
      <c r="E20" s="2"/>
      <c r="F20" s="2">
        <f>'单人评价页'!B4+'单人评价页'!B6+'单人评价页'!B7</f>
      </c>
      <c r="G20" s="2">
        <f>'单人评价页'!B5+'单人评价页'!B8</f>
      </c>
      <c r="H20" s="2">
        <f>'单人评价页'!B6+'单人评价页'!B12</f>
      </c>
      <c r="I20" s="2">
        <f>'单人评价页'!B7</f>
      </c>
      <c r="J20" s="2">
        <f>'单人评价页'!B8</f>
      </c>
      <c r="K20" s="2">
        <f>'单人评价页'!B9+'单人评价页'!B10</f>
      </c>
      <c r="L20" s="2">
        <f>SUM(F20:K20)</f>
      </c>
      <c r="M20" s="2">
        <f>IF(L20&gt;=90,"强烈推荐",IF(L20&gt;=80,"推荐录用",IF(L20&gt;=70,"保留观察","不推荐")))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4" customWidth="1"/>
    <col min="2" max="2" width="12" customWidth="1"/>
    <col min="3" max="3" width="45" customWidth="1"/>
  </cols>
  <sheetData>
    <row r="1">
      <c r="A1" s="3" t="s">
        <v>13</v>
      </c>
    </row>
    <row r="2">
      <c r="A2" s="3" t="s">
        <v>14</v>
      </c>
      <c r="C2" s="3" t="s">
        <v>15</v>
      </c>
      <c r="E2" s="3" t="s">
        <v>16</v>
      </c>
    </row>
    <row r="3">
      <c r="A3" s="1" t="s">
        <v>17</v>
      </c>
      <c r="B3" s="1" t="s">
        <v>18</v>
      </c>
      <c r="C3" s="1" t="s">
        <v>19</v>
      </c>
    </row>
    <row r="4">
      <c r="A4" s="2" t="s">
        <v>20</v>
      </c>
      <c r="B4" s="2">
        <v>0</v>
      </c>
      <c r="C4" s="2" t="s">
        <v>21</v>
      </c>
    </row>
    <row r="5">
      <c r="A5" s="2" t="s">
        <v>22</v>
      </c>
      <c r="B5" s="2">
        <v>0</v>
      </c>
      <c r="C5" s="2" t="s">
        <v>23</v>
      </c>
    </row>
    <row r="6">
      <c r="A6" s="2" t="s">
        <v>24</v>
      </c>
      <c r="B6" s="2">
        <v>0</v>
      </c>
      <c r="C6" s="2" t="s">
        <v>25</v>
      </c>
    </row>
    <row r="7">
      <c r="A7" s="2" t="s">
        <v>26</v>
      </c>
      <c r="B7" s="2">
        <v>0</v>
      </c>
      <c r="C7" s="2" t="s">
        <v>27</v>
      </c>
    </row>
    <row r="8">
      <c r="A8" s="2" t="s">
        <v>28</v>
      </c>
      <c r="B8" s="2">
        <v>0</v>
      </c>
      <c r="C8" s="2" t="s">
        <v>29</v>
      </c>
    </row>
    <row r="9">
      <c r="A9" s="2" t="s">
        <v>30</v>
      </c>
      <c r="B9" s="2">
        <v>0</v>
      </c>
      <c r="C9" s="2" t="s">
        <v>31</v>
      </c>
    </row>
    <row r="10">
      <c r="A10" s="2" t="s">
        <v>32</v>
      </c>
      <c r="B10" s="2">
        <v>0</v>
      </c>
      <c r="C10" s="2" t="s">
        <v>33</v>
      </c>
    </row>
    <row r="11">
      <c r="A11" s="2" t="s">
        <v>34</v>
      </c>
      <c r="B11" s="2">
        <v>0</v>
      </c>
      <c r="C11" s="2" t="s">
        <v>35</v>
      </c>
    </row>
    <row r="12">
      <c r="A12" s="2" t="s">
        <v>36</v>
      </c>
      <c r="B12" s="2">
        <v>0</v>
      </c>
      <c r="C12" s="2" t="s">
        <v>37</v>
      </c>
    </row>
    <row r="13">
      <c r="A13" s="2" t="s">
        <v>38</v>
      </c>
      <c r="B13" s="2">
        <v>0</v>
      </c>
      <c r="C13" s="2" t="s">
        <v>39</v>
      </c>
    </row>
    <row r="14">
      <c r="A14" s="2" t="s">
        <v>40</v>
      </c>
      <c r="B14" s="2">
        <v>0</v>
      </c>
      <c r="C14" s="2" t="s">
        <v>41</v>
      </c>
    </row>
    <row r="15">
      <c r="A15" s="2" t="s">
        <v>42</v>
      </c>
      <c r="B15" s="2">
        <v>0</v>
      </c>
      <c r="C15" s="2" t="s">
        <v>43</v>
      </c>
    </row>
    <row r="17">
      <c r="A17" s="3" t="s">
        <v>44</v>
      </c>
      <c r="B17" s="3">
        <f>SUM(B4:B15)</f>
      </c>
    </row>
    <row r="18">
      <c r="A18" s="3" t="s">
        <v>45</v>
      </c>
    </row>
    <row r="20">
      <c r="A20" s="3" t="s">
        <v>46</v>
      </c>
      <c r="C20" s="3" t="s">
        <v>47</v>
      </c>
    </row>
  </sheetData>
</worksheet>
</file>