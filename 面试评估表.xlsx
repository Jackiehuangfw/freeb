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总表" sheetId="1" r:id="rId1"/>
    <sheet name="单人评价页" sheetId="2" r:id="rId2"/>
  </sheets>
</workbook>
</file>

<file path=xl/sharedStrings.xml><?xml version="1.0" encoding="utf-8"?>
<sst xmlns="http://schemas.openxmlformats.org/spreadsheetml/2006/main" count="56" uniqueCount="56">
  <si>
    <t>面试评估总表</t>
  </si>
  <si>
    <t>Candidate Evaluation Summary  ·  Approachable Luxury</t>
  </si>
  <si>
    <t>排名</t>
  </si>
  <si>
    <t>候选人</t>
  </si>
  <si>
    <t>应聘岗位</t>
  </si>
  <si>
    <t>当前公司</t>
  </si>
  <si>
    <t>工作年限</t>
  </si>
  <si>
    <t>专业能力(40)</t>
  </si>
  <si>
    <t>沟通表达(25)</t>
  </si>
  <si>
    <t>组织协调(20)</t>
  </si>
  <si>
    <t>责任心(10)</t>
  </si>
  <si>
    <t>文化匹配(5)</t>
  </si>
  <si>
    <t>稳定性(5)</t>
  </si>
  <si>
    <t>总分</t>
  </si>
  <si>
    <t>面试结论</t>
  </si>
  <si>
    <t>面试候选人评价表</t>
  </si>
  <si>
    <t>Individual Candidate Assessment  ·  Editorial Sketch</t>
  </si>
  <si>
    <t>基本信息</t>
  </si>
  <si>
    <t>候选人姓名：</t>
  </si>
  <si>
    <t>应聘岗位：</t>
  </si>
  <si>
    <t>面试日期：</t>
  </si>
  <si>
    <t>评价维度</t>
  </si>
  <si>
    <t/>
  </si>
  <si>
    <t>评分(0~10)</t>
  </si>
  <si>
    <t>评价说明</t>
  </si>
  <si>
    <t>文书处理能力</t>
  </si>
  <si>
    <t>公文写作、材料整理、文档格式规范</t>
  </si>
  <si>
    <t>沟通协调能力</t>
  </si>
  <si>
    <t>语言表达、沟通技巧、协调各方关系</t>
  </si>
  <si>
    <t>组织安排能力</t>
  </si>
  <si>
    <t>工作计划制定、任务分配、流程管理</t>
  </si>
  <si>
    <t>时间管理能力</t>
  </si>
  <si>
    <t>时间规划、优先级判断、多任务处理</t>
  </si>
  <si>
    <t>责任心与执行力</t>
  </si>
  <si>
    <t>工作态度、任务完成度、主动承担</t>
  </si>
  <si>
    <t>适应力与学习力</t>
  </si>
  <si>
    <t>新环境适应速度、学习意愿与能力</t>
  </si>
  <si>
    <t>团队协作能力</t>
  </si>
  <si>
    <t>团队合作意识、配合度、共同目标</t>
  </si>
  <si>
    <t>企业文化匹配度</t>
  </si>
  <si>
    <t>价值观、工作风格与公司文化契合</t>
  </si>
  <si>
    <t>稳定性/职业规划匹配</t>
  </si>
  <si>
    <t>职业规划清晰度、岗位匹配、长期意愿</t>
  </si>
  <si>
    <t>稳定性评估（HR模块）</t>
  </si>
  <si>
    <t>HR综合评估候选人稳定性风险</t>
  </si>
  <si>
    <t>执行力评估（HR模块）</t>
  </si>
  <si>
    <t>HR综合评估候选人执行力水平</t>
  </si>
  <si>
    <t>办公技能评估（HR模块）</t>
  </si>
  <si>
    <t>Office/OA系统等办公软件熟练度</t>
  </si>
  <si>
    <t>评估汇总</t>
  </si>
  <si>
    <t>合计得分</t>
  </si>
  <si>
    <t>满分120分，由总表按权重折算</t>
  </si>
  <si>
    <t>综合评语</t>
  </si>
  <si>
    <t>面试官签名：</t>
  </si>
  <si>
    <t>日期：</t>
  </si>
  <si>
    <t>※ 评分标准：0~10分，总表公式自动引用计算</t>
  </si>
</sst>
</file>

<file path=xl/styles.xml><?xml version="1.0" encoding="utf-8"?>
<styleSheet xmlns="http://schemas.openxmlformats.org/spreadsheetml/2006/main">
  <fonts count="7">
    <font>
      <sz val="11"/>
      <color rgb="FF5B4E51"/>
      <name val="Segoe UI"/>
    </font>
    <font>
      <b/>
      <sz val="11"/>
      <color rgb="FF5B4E51"/>
      <name val="Segoe UI"/>
    </font>
    <font>
      <b/>
      <sz val="16"/>
      <color rgb="FF5B4E51"/>
      <name val="Georgia"/>
    </font>
    <font>
      <sz val="12"/>
      <color rgb="FFA89396"/>
      <name val="Georgia"/>
    </font>
    <font>
      <b/>
      <sz val="11"/>
      <color rgb="FFFAF8F7"/>
      <name val="Segoe UI"/>
    </font>
    <font>
      <sz val="9"/>
      <color rgb="FFA89396"/>
      <name val="Segoe UI"/>
    </font>
    <font>
      <b/>
      <sz val="11"/>
      <color rgb="FFC9A9A0"/>
      <name val="Segoe UI"/>
    </font>
  </fonts>
  <fills count="12">
    <fill>
      <patternFill patternType="none"/>
    </fill>
    <fill>
      <patternFill patternType="gray125"/>
    </fill>
    <fill>
      <patternFill patternType="solid">
        <fgColor rgb="FF5B4E51"/>
      </patternFill>
    </fill>
    <fill>
      <patternFill patternType="solid">
        <fgColor rgb="FF7D6B6E"/>
      </patternFill>
    </fill>
    <fill>
      <patternFill patternType="solid">
        <fgColor rgb="FFA89396"/>
      </patternFill>
    </fill>
    <fill>
      <patternFill patternType="solid">
        <fgColor rgb="FFD4C4C7"/>
      </patternFill>
    </fill>
    <fill>
      <patternFill patternType="solid">
        <fgColor rgb="FFE8DFE1"/>
      </patternFill>
    </fill>
    <fill>
      <patternFill patternType="solid">
        <fgColor rgb="FFF5F0F1"/>
      </patternFill>
    </fill>
    <fill>
      <patternFill patternType="solid">
        <fgColor rgb="FFFAF8F7"/>
      </patternFill>
    </fill>
    <fill>
      <patternFill patternType="solid">
        <fgColor rgb="FFC9A9A0"/>
      </patternFill>
    </fill>
    <fill>
      <patternFill patternType="solid">
        <fgColor rgb="FFB8C4C9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FFA89396"/>
      </left>
      <right style="thin">
        <color rgb="FFA89396"/>
      </right>
      <top style="thin">
        <color rgb="FFA89396"/>
      </top>
      <bottom style="thin">
        <color rgb="FFA89396"/>
      </bottom>
      <diagonal/>
    </border>
    <border>
      <left/>
      <right/>
      <top/>
      <bottom style="medium">
        <color rgb="FF7D6B6E"/>
      </bottom>
      <diagonal/>
    </border>
    <border>
      <left/>
      <right/>
      <top/>
      <bottom style="thin">
        <color rgb="FFD4C4C7"/>
      </bottom>
      <diagonal/>
    </border>
    <border>
      <left style="medium">
        <color rgb="FF7D6B6E"/>
      </left>
      <right style="medium">
        <color rgb="FF7D6B6E"/>
      </right>
      <top style="medium">
        <color rgb="FF7D6B6E"/>
      </top>
      <bottom style="medium">
        <color rgb="FF7D6B6E"/>
      </bottom>
      <diagonal/>
    </border>
    <border>
      <left/>
      <right/>
      <top/>
      <bottom style="dashed">
        <color rgb="FFA89396"/>
      </bottom>
      <diagonal/>
    </border>
  </borders>
  <cellStyleXfs count="1">
    <xf numFmtId="0" fontId="0" fillId="0" borderId="0"/>
  </cellStyleXfs>
  <cellXfs count="16">
    <!-- 0: Default/page background -->
    <xf numFmtId="0" fontId="0" fillId="7" borderId="0" xfId="0" applyFill="1"/>
    <!-- 1: Title (large serif, cream bg, underline border) -->
    <xf numFmtId="0" fontId="2" fillId="8" borderId="2" xfId="0" applyFont="1" applyFill="1" applyBorder="1" applyAlignment="1">
      <alignment horizontal="left" vertical="center"/>
    </xf>
    <!-- 2: Subtitle (medium serif, no fill) -->
    <xf numFmtId="0" fontId="3" fillId="7" borderId="0" xfId="0" applyFont="1" applyFill="1" applyAlignment="1">
      <alignment horizontal="left" vertical="center"/>
    </xf>
    <!-- 3: Card header (dark fill, white text, card border) -->
    <xf numFmtId="0" fontId="4" fillId="2" borderId="4" xfId="0" applyFont="1" applyFill="1" applyBorder="1" applyAlignment="1">
      <alignment horizontal="center" vertical="center" wrapText="1"/>
    </xf>
    <!-- 4: Card body - normal row (light fill, thin border) -->
    <xf numFmtId="0" fontId="0" fillId="5" borderId="1" xfId="0" applyFont="1" applyFill="1" applyBorder="1" applyAlignment="1">
      <alignment horizontal="center" vertical="center" wrapText="1"/>
    </xf>
    <!-- 5: Card body - alt row (lighter fill, thin border) -->
    <xf numFmtId="0" fontId="0" fillId="6" borderId="1" xfId="0" applyFont="1" applyFill="1" applyBorder="1" applyAlignment="1">
      <alignment horizontal="center" vertical="center" wrapText="1"/>
    </xf>
    <!-- 6: Card body - left aligned (light fill) -->
    <xf numFmtId="0" fontId="0" fillId="5" borderId="1" xfId="0" applyFont="1" applyFill="1" applyBorder="1" applyAlignment="1">
      <alignment horizontal="left" vertical="center" wrapText="1" indent="1"/>
    </xf>
    <!-- 7: Card body - left aligned alt (lighter fill) -->
    <xf numFmtId="0" fontId="0" fillId="6" borderId="1" xfId="0" applyFont="1" applyFill="1" applyBorder="1" applyAlignment="1">
      <alignment horizontal="left" vertical="center" wrapText="1" indent="1"/>
    </xf>
    <!-- 8: Accent bold cell (for totals/highlights) -->
    <xf numFmtId="0" fontId="6" fillId="8" borderId="4" xfId="0" applyFont="1" applyFill="1" applyBorder="1" applyAlignment="1">
      <alignment horizontal="center" vertical="center"/>
    </xf>
    <!-- 9: Section label (bold, sketch underline) -->
    <xf numFmtId="0" fontId="1" fillId="7" borderId="5" xfId="0" applyFont="1" applyFill="1" applyBorder="1" applyAlignment="1">
      <alignment horizontal="left" vertical="center"/>
    </xf>
    <!-- 10: Meta/small text -->
    <xf numFmtId="0" fontId="5" fillId="7" borderId="0" xfId="0" applyFont="1" applyFill="1" applyAlignment="1">
      <alignment horizontal="left" vertical="center"/>
    </xf>
    <!-- 11: Card sub-header (medium fill, dark border) -->
    <xf numFmtId="0" fontId="1" fillId="4" borderId="4" xfId="0" applyFont="1" applyFill="1" applyBorder="1" applyAlignment="1">
      <alignment horizontal="center" vertical="center" wrapText="1"/>
    </xf>
    <!-- 12: Info field label (bold, subtle bottom) -->
    <xf numFmtId="0" fontId="1" fillId="8" borderId="3" xfId="0" applyFont="1" applyFill="1" applyBorder="1" applyAlignment="1">
      <alignment horizontal="left" vertical="center"/>
    </xf>
    <!-- 13: Info field value (normal, subtle bottom) -->
    <xf numFmtId="0" fontId="0" fillId="8" borderId="3" xfId="0" applyFont="1" applyFill="1" applyBorder="1" applyAlignment="1">
      <alignment horizontal="left" vertical="center"/>
    </xf>
    <!-- 14: Score input cell (white fill, card border, center) -->
    <xf numFmtId="0" fontId="1" fillId="11" borderId="4" xfId="0" applyFont="1" applyFill="1" applyBorder="1" applyAlignment="1">
      <alignment horizontal="center" vertical="center"/>
    </xf>
    <!-- 15: Cool accent cell (sage mist) -->
    <xf numFmtId="0" fontId="0" fillId="10" borderId="1" xfId="0" applyFont="1" applyFill="1" applyBorder="1" applyAlignment="1">
      <alignment horizontal="center" vertical="center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 showGridLines="0">
      <pane ySplit="4" topLeftCell="A5" activePane="bottomLeft" state="frozen"/>
    </sheetView>
  </sheetViews>
  <cols>
    <col min="1" max="1" width="7" customWidth="1"/>
    <col min="2" max="2" width="14" customWidth="1"/>
    <col min="3" max="3" width="16" customWidth="1"/>
    <col min="4" max="4" width="16" customWidth="1"/>
    <col min="5" max="5" width="10" customWidth="1"/>
    <col min="6" max="6" width="14" customWidth="1"/>
    <col min="7" max="7" width="14" customWidth="1"/>
    <col min="8" max="8" width="14" customWidth="1"/>
    <col min="9" max="9" width="12" customWidth="1"/>
    <col min="10" max="10" width="12" customWidth="1"/>
    <col min="11" max="11" width="12" customWidth="1"/>
    <col min="12" max="12" width="10" customWidth="1"/>
    <col min="13" max="13" width="14" customWidth="1"/>
  </cols>
  <sheetData>
    <row r="1" ht="36" customHeight="1">
      <c r="A1" s="1" t="s">
        <v>0</v>
      </c>
      <c r="B1" s="1"/>
      <c r="C1" s="1"/>
    </row>
    <row r="2" ht="22" customHeight="1">
      <c r="A2" s="2" t="s">
        <v>1</v>
      </c>
    </row>
    <row r="3" ht="10" customHeight="1">
      <c r="A3"/>
    </row>
    <row r="4" ht="28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ht="24" customHeight="1">
      <c r="A5" s="4">
        <f>RANK(L5,$L$5:$L$23,0)</f>
      </c>
      <c r="B5" s="4"/>
      <c r="C5" s="4"/>
      <c r="D5" s="4"/>
      <c r="E5" s="4"/>
      <c r="F5" s="4">
        <f>'单人评价页'!B5+'单人评价页'!B7+'单人评价页'!B8</f>
      </c>
      <c r="G5" s="4">
        <f>'单人评价页'!B6+'单人评价页'!B9</f>
      </c>
      <c r="H5" s="4">
        <f>'单人评价页'!B7+'单人评价页'!B13</f>
      </c>
      <c r="I5" s="4">
        <f>'单人评价页'!B8</f>
      </c>
      <c r="J5" s="4">
        <f>'单人评价页'!B10</f>
      </c>
      <c r="K5" s="4">
        <f>'单人评价页'!B11+'单人评价页'!B12</f>
      </c>
      <c r="L5" s="8">
        <f>SUM(F5:K5)</f>
      </c>
      <c r="M5" s="4">
        <f>IF(L5&gt;=90,"强烈推荐",IF(L5&gt;=80,"推荐录用",IF(L5&gt;=70,"保留观察","不推荐")))</f>
      </c>
    </row>
    <row r="6" ht="24" customHeight="1">
      <c r="A6" s="5">
        <f>RANK(L6,$L$5:$L$23,0)</f>
      </c>
      <c r="B6" s="5"/>
      <c r="C6" s="5"/>
      <c r="D6" s="5"/>
      <c r="E6" s="5"/>
      <c r="F6" s="5">
        <f>'单人评价页'!B5+'单人评价页'!B7+'单人评价页'!B8</f>
      </c>
      <c r="G6" s="5">
        <f>'单人评价页'!B6+'单人评价页'!B9</f>
      </c>
      <c r="H6" s="5">
        <f>'单人评价页'!B7+'单人评价页'!B13</f>
      </c>
      <c r="I6" s="5">
        <f>'单人评价页'!B8</f>
      </c>
      <c r="J6" s="5">
        <f>'单人评价页'!B10</f>
      </c>
      <c r="K6" s="5">
        <f>'单人评价页'!B11+'单人评价页'!B12</f>
      </c>
      <c r="L6" s="8">
        <f>SUM(F6:K6)</f>
      </c>
      <c r="M6" s="5">
        <f>IF(L6&gt;=90,"强烈推荐",IF(L6&gt;=80,"推荐录用",IF(L6&gt;=70,"保留观察","不推荐")))</f>
      </c>
    </row>
    <row r="7" ht="24" customHeight="1">
      <c r="A7" s="4">
        <f>RANK(L7,$L$5:$L$23,0)</f>
      </c>
      <c r="B7" s="4"/>
      <c r="C7" s="4"/>
      <c r="D7" s="4"/>
      <c r="E7" s="4"/>
      <c r="F7" s="4">
        <f>'单人评价页'!B5+'单人评价页'!B7+'单人评价页'!B8</f>
      </c>
      <c r="G7" s="4">
        <f>'单人评价页'!B6+'单人评价页'!B9</f>
      </c>
      <c r="H7" s="4">
        <f>'单人评价页'!B7+'单人评价页'!B13</f>
      </c>
      <c r="I7" s="4">
        <f>'单人评价页'!B8</f>
      </c>
      <c r="J7" s="4">
        <f>'单人评价页'!B10</f>
      </c>
      <c r="K7" s="4">
        <f>'单人评价页'!B11+'单人评价页'!B12</f>
      </c>
      <c r="L7" s="8">
        <f>SUM(F7:K7)</f>
      </c>
      <c r="M7" s="4">
        <f>IF(L7&gt;=90,"强烈推荐",IF(L7&gt;=80,"推荐录用",IF(L7&gt;=70,"保留观察","不推荐")))</f>
      </c>
    </row>
    <row r="8" ht="24" customHeight="1">
      <c r="A8" s="5">
        <f>RANK(L8,$L$5:$L$23,0)</f>
      </c>
      <c r="B8" s="5"/>
      <c r="C8" s="5"/>
      <c r="D8" s="5"/>
      <c r="E8" s="5"/>
      <c r="F8" s="5">
        <f>'单人评价页'!B5+'单人评价页'!B7+'单人评价页'!B8</f>
      </c>
      <c r="G8" s="5">
        <f>'单人评价页'!B6+'单人评价页'!B9</f>
      </c>
      <c r="H8" s="5">
        <f>'单人评价页'!B7+'单人评价页'!B13</f>
      </c>
      <c r="I8" s="5">
        <f>'单人评价页'!B8</f>
      </c>
      <c r="J8" s="5">
        <f>'单人评价页'!B10</f>
      </c>
      <c r="K8" s="5">
        <f>'单人评价页'!B11+'单人评价页'!B12</f>
      </c>
      <c r="L8" s="8">
        <f>SUM(F8:K8)</f>
      </c>
      <c r="M8" s="5">
        <f>IF(L8&gt;=90,"强烈推荐",IF(L8&gt;=80,"推荐录用",IF(L8&gt;=70,"保留观察","不推荐")))</f>
      </c>
    </row>
    <row r="9" ht="24" customHeight="1">
      <c r="A9" s="4">
        <f>RANK(L9,$L$5:$L$23,0)</f>
      </c>
      <c r="B9" s="4"/>
      <c r="C9" s="4"/>
      <c r="D9" s="4"/>
      <c r="E9" s="4"/>
      <c r="F9" s="4">
        <f>'单人评价页'!B5+'单人评价页'!B7+'单人评价页'!B8</f>
      </c>
      <c r="G9" s="4">
        <f>'单人评价页'!B6+'单人评价页'!B9</f>
      </c>
      <c r="H9" s="4">
        <f>'单人评价页'!B7+'单人评价页'!B13</f>
      </c>
      <c r="I9" s="4">
        <f>'单人评价页'!B8</f>
      </c>
      <c r="J9" s="4">
        <f>'单人评价页'!B10</f>
      </c>
      <c r="K9" s="4">
        <f>'单人评价页'!B11+'单人评价页'!B12</f>
      </c>
      <c r="L9" s="8">
        <f>SUM(F9:K9)</f>
      </c>
      <c r="M9" s="4">
        <f>IF(L9&gt;=90,"强烈推荐",IF(L9&gt;=80,"推荐录用",IF(L9&gt;=70,"保留观察","不推荐")))</f>
      </c>
    </row>
    <row r="10" ht="24" customHeight="1">
      <c r="A10" s="5">
        <f>RANK(L10,$L$5:$L$23,0)</f>
      </c>
      <c r="B10" s="5"/>
      <c r="C10" s="5"/>
      <c r="D10" s="5"/>
      <c r="E10" s="5"/>
      <c r="F10" s="5">
        <f>'单人评价页'!B5+'单人评价页'!B7+'单人评价页'!B8</f>
      </c>
      <c r="G10" s="5">
        <f>'单人评价页'!B6+'单人评价页'!B9</f>
      </c>
      <c r="H10" s="5">
        <f>'单人评价页'!B7+'单人评价页'!B13</f>
      </c>
      <c r="I10" s="5">
        <f>'单人评价页'!B8</f>
      </c>
      <c r="J10" s="5">
        <f>'单人评价页'!B10</f>
      </c>
      <c r="K10" s="5">
        <f>'单人评价页'!B11+'单人评价页'!B12</f>
      </c>
      <c r="L10" s="8">
        <f>SUM(F10:K10)</f>
      </c>
      <c r="M10" s="5">
        <f>IF(L10&gt;=90,"强烈推荐",IF(L10&gt;=80,"推荐录用",IF(L10&gt;=70,"保留观察","不推荐")))</f>
      </c>
    </row>
    <row r="11" ht="24" customHeight="1">
      <c r="A11" s="4">
        <f>RANK(L11,$L$5:$L$23,0)</f>
      </c>
      <c r="B11" s="4"/>
      <c r="C11" s="4"/>
      <c r="D11" s="4"/>
      <c r="E11" s="4"/>
      <c r="F11" s="4">
        <f>'单人评价页'!B5+'单人评价页'!B7+'单人评价页'!B8</f>
      </c>
      <c r="G11" s="4">
        <f>'单人评价页'!B6+'单人评价页'!B9</f>
      </c>
      <c r="H11" s="4">
        <f>'单人评价页'!B7+'单人评价页'!B13</f>
      </c>
      <c r="I11" s="4">
        <f>'单人评价页'!B8</f>
      </c>
      <c r="J11" s="4">
        <f>'单人评价页'!B10</f>
      </c>
      <c r="K11" s="4">
        <f>'单人评价页'!B11+'单人评价页'!B12</f>
      </c>
      <c r="L11" s="8">
        <f>SUM(F11:K11)</f>
      </c>
      <c r="M11" s="4">
        <f>IF(L11&gt;=90,"强烈推荐",IF(L11&gt;=80,"推荐录用",IF(L11&gt;=70,"保留观察","不推荐")))</f>
      </c>
    </row>
    <row r="12" ht="24" customHeight="1">
      <c r="A12" s="5">
        <f>RANK(L12,$L$5:$L$23,0)</f>
      </c>
      <c r="B12" s="5"/>
      <c r="C12" s="5"/>
      <c r="D12" s="5"/>
      <c r="E12" s="5"/>
      <c r="F12" s="5">
        <f>'单人评价页'!B5+'单人评价页'!B7+'单人评价页'!B8</f>
      </c>
      <c r="G12" s="5">
        <f>'单人评价页'!B6+'单人评价页'!B9</f>
      </c>
      <c r="H12" s="5">
        <f>'单人评价页'!B7+'单人评价页'!B13</f>
      </c>
      <c r="I12" s="5">
        <f>'单人评价页'!B8</f>
      </c>
      <c r="J12" s="5">
        <f>'单人评价页'!B10</f>
      </c>
      <c r="K12" s="5">
        <f>'单人评价页'!B11+'单人评价页'!B12</f>
      </c>
      <c r="L12" s="8">
        <f>SUM(F12:K12)</f>
      </c>
      <c r="M12" s="5">
        <f>IF(L12&gt;=90,"强烈推荐",IF(L12&gt;=80,"推荐录用",IF(L12&gt;=70,"保留观察","不推荐")))</f>
      </c>
    </row>
    <row r="13" ht="24" customHeight="1">
      <c r="A13" s="4">
        <f>RANK(L13,$L$5:$L$23,0)</f>
      </c>
      <c r="B13" s="4"/>
      <c r="C13" s="4"/>
      <c r="D13" s="4"/>
      <c r="E13" s="4"/>
      <c r="F13" s="4">
        <f>'单人评价页'!B5+'单人评价页'!B7+'单人评价页'!B8</f>
      </c>
      <c r="G13" s="4">
        <f>'单人评价页'!B6+'单人评价页'!B9</f>
      </c>
      <c r="H13" s="4">
        <f>'单人评价页'!B7+'单人评价页'!B13</f>
      </c>
      <c r="I13" s="4">
        <f>'单人评价页'!B8</f>
      </c>
      <c r="J13" s="4">
        <f>'单人评价页'!B10</f>
      </c>
      <c r="K13" s="4">
        <f>'单人评价页'!B11+'单人评价页'!B12</f>
      </c>
      <c r="L13" s="8">
        <f>SUM(F13:K13)</f>
      </c>
      <c r="M13" s="4">
        <f>IF(L13&gt;=90,"强烈推荐",IF(L13&gt;=80,"推荐录用",IF(L13&gt;=70,"保留观察","不推荐")))</f>
      </c>
    </row>
    <row r="14" ht="24" customHeight="1">
      <c r="A14" s="5">
        <f>RANK(L14,$L$5:$L$23,0)</f>
      </c>
      <c r="B14" s="5"/>
      <c r="C14" s="5"/>
      <c r="D14" s="5"/>
      <c r="E14" s="5"/>
      <c r="F14" s="5">
        <f>'单人评价页'!B5+'单人评价页'!B7+'单人评价页'!B8</f>
      </c>
      <c r="G14" s="5">
        <f>'单人评价页'!B6+'单人评价页'!B9</f>
      </c>
      <c r="H14" s="5">
        <f>'单人评价页'!B7+'单人评价页'!B13</f>
      </c>
      <c r="I14" s="5">
        <f>'单人评价页'!B8</f>
      </c>
      <c r="J14" s="5">
        <f>'单人评价页'!B10</f>
      </c>
      <c r="K14" s="5">
        <f>'单人评价页'!B11+'单人评价页'!B12</f>
      </c>
      <c r="L14" s="8">
        <f>SUM(F14:K14)</f>
      </c>
      <c r="M14" s="5">
        <f>IF(L14&gt;=90,"强烈推荐",IF(L14&gt;=80,"推荐录用",IF(L14&gt;=70,"保留观察","不推荐")))</f>
      </c>
    </row>
    <row r="15" ht="24" customHeight="1">
      <c r="A15" s="4">
        <f>RANK(L15,$L$5:$L$23,0)</f>
      </c>
      <c r="B15" s="4"/>
      <c r="C15" s="4"/>
      <c r="D15" s="4"/>
      <c r="E15" s="4"/>
      <c r="F15" s="4">
        <f>'单人评价页'!B5+'单人评价页'!B7+'单人评价页'!B8</f>
      </c>
      <c r="G15" s="4">
        <f>'单人评价页'!B6+'单人评价页'!B9</f>
      </c>
      <c r="H15" s="4">
        <f>'单人评价页'!B7+'单人评价页'!B13</f>
      </c>
      <c r="I15" s="4">
        <f>'单人评价页'!B8</f>
      </c>
      <c r="J15" s="4">
        <f>'单人评价页'!B10</f>
      </c>
      <c r="K15" s="4">
        <f>'单人评价页'!B11+'单人评价页'!B12</f>
      </c>
      <c r="L15" s="8">
        <f>SUM(F15:K15)</f>
      </c>
      <c r="M15" s="4">
        <f>IF(L15&gt;=90,"强烈推荐",IF(L15&gt;=80,"推荐录用",IF(L15&gt;=70,"保留观察","不推荐")))</f>
      </c>
    </row>
    <row r="16" ht="24" customHeight="1">
      <c r="A16" s="5">
        <f>RANK(L16,$L$5:$L$23,0)</f>
      </c>
      <c r="B16" s="5"/>
      <c r="C16" s="5"/>
      <c r="D16" s="5"/>
      <c r="E16" s="5"/>
      <c r="F16" s="5">
        <f>'单人评价页'!B5+'单人评价页'!B7+'单人评价页'!B8</f>
      </c>
      <c r="G16" s="5">
        <f>'单人评价页'!B6+'单人评价页'!B9</f>
      </c>
      <c r="H16" s="5">
        <f>'单人评价页'!B7+'单人评价页'!B13</f>
      </c>
      <c r="I16" s="5">
        <f>'单人评价页'!B8</f>
      </c>
      <c r="J16" s="5">
        <f>'单人评价页'!B10</f>
      </c>
      <c r="K16" s="5">
        <f>'单人评价页'!B11+'单人评价页'!B12</f>
      </c>
      <c r="L16" s="8">
        <f>SUM(F16:K16)</f>
      </c>
      <c r="M16" s="5">
        <f>IF(L16&gt;=90,"强烈推荐",IF(L16&gt;=80,"推荐录用",IF(L16&gt;=70,"保留观察","不推荐")))</f>
      </c>
    </row>
    <row r="17" ht="24" customHeight="1">
      <c r="A17" s="4">
        <f>RANK(L17,$L$5:$L$23,0)</f>
      </c>
      <c r="B17" s="4"/>
      <c r="C17" s="4"/>
      <c r="D17" s="4"/>
      <c r="E17" s="4"/>
      <c r="F17" s="4">
        <f>'单人评价页'!B5+'单人评价页'!B7+'单人评价页'!B8</f>
      </c>
      <c r="G17" s="4">
        <f>'单人评价页'!B6+'单人评价页'!B9</f>
      </c>
      <c r="H17" s="4">
        <f>'单人评价页'!B7+'单人评价页'!B13</f>
      </c>
      <c r="I17" s="4">
        <f>'单人评价页'!B8</f>
      </c>
      <c r="J17" s="4">
        <f>'单人评价页'!B10</f>
      </c>
      <c r="K17" s="4">
        <f>'单人评价页'!B11+'单人评价页'!B12</f>
      </c>
      <c r="L17" s="8">
        <f>SUM(F17:K17)</f>
      </c>
      <c r="M17" s="4">
        <f>IF(L17&gt;=90,"强烈推荐",IF(L17&gt;=80,"推荐录用",IF(L17&gt;=70,"保留观察","不推荐")))</f>
      </c>
    </row>
    <row r="18" ht="24" customHeight="1">
      <c r="A18" s="5">
        <f>RANK(L18,$L$5:$L$23,0)</f>
      </c>
      <c r="B18" s="5"/>
      <c r="C18" s="5"/>
      <c r="D18" s="5"/>
      <c r="E18" s="5"/>
      <c r="F18" s="5">
        <f>'单人评价页'!B5+'单人评价页'!B7+'单人评价页'!B8</f>
      </c>
      <c r="G18" s="5">
        <f>'单人评价页'!B6+'单人评价页'!B9</f>
      </c>
      <c r="H18" s="5">
        <f>'单人评价页'!B7+'单人评价页'!B13</f>
      </c>
      <c r="I18" s="5">
        <f>'单人评价页'!B8</f>
      </c>
      <c r="J18" s="5">
        <f>'单人评价页'!B10</f>
      </c>
      <c r="K18" s="5">
        <f>'单人评价页'!B11+'单人评价页'!B12</f>
      </c>
      <c r="L18" s="8">
        <f>SUM(F18:K18)</f>
      </c>
      <c r="M18" s="5">
        <f>IF(L18&gt;=90,"强烈推荐",IF(L18&gt;=80,"推荐录用",IF(L18&gt;=70,"保留观察","不推荐")))</f>
      </c>
    </row>
    <row r="19" ht="24" customHeight="1">
      <c r="A19" s="4">
        <f>RANK(L19,$L$5:$L$23,0)</f>
      </c>
      <c r="B19" s="4"/>
      <c r="C19" s="4"/>
      <c r="D19" s="4"/>
      <c r="E19" s="4"/>
      <c r="F19" s="4">
        <f>'单人评价页'!B5+'单人评价页'!B7+'单人评价页'!B8</f>
      </c>
      <c r="G19" s="4">
        <f>'单人评价页'!B6+'单人评价页'!B9</f>
      </c>
      <c r="H19" s="4">
        <f>'单人评价页'!B7+'单人评价页'!B13</f>
      </c>
      <c r="I19" s="4">
        <f>'单人评价页'!B8</f>
      </c>
      <c r="J19" s="4">
        <f>'单人评价页'!B10</f>
      </c>
      <c r="K19" s="4">
        <f>'单人评价页'!B11+'单人评价页'!B12</f>
      </c>
      <c r="L19" s="8">
        <f>SUM(F19:K19)</f>
      </c>
      <c r="M19" s="4">
        <f>IF(L19&gt;=90,"强烈推荐",IF(L19&gt;=80,"推荐录用",IF(L19&gt;=70,"保留观察","不推荐")))</f>
      </c>
    </row>
    <row r="20" ht="24" customHeight="1">
      <c r="A20" s="5">
        <f>RANK(L20,$L$5:$L$23,0)</f>
      </c>
      <c r="B20" s="5"/>
      <c r="C20" s="5"/>
      <c r="D20" s="5"/>
      <c r="E20" s="5"/>
      <c r="F20" s="5">
        <f>'单人评价页'!B5+'单人评价页'!B7+'单人评价页'!B8</f>
      </c>
      <c r="G20" s="5">
        <f>'单人评价页'!B6+'单人评价页'!B9</f>
      </c>
      <c r="H20" s="5">
        <f>'单人评价页'!B7+'单人评价页'!B13</f>
      </c>
      <c r="I20" s="5">
        <f>'单人评价页'!B8</f>
      </c>
      <c r="J20" s="5">
        <f>'单人评价页'!B10</f>
      </c>
      <c r="K20" s="5">
        <f>'单人评价页'!B11+'单人评价页'!B12</f>
      </c>
      <c r="L20" s="8">
        <f>SUM(F20:K20)</f>
      </c>
      <c r="M20" s="5">
        <f>IF(L20&gt;=90,"强烈推荐",IF(L20&gt;=80,"推荐录用",IF(L20&gt;=70,"保留观察","不推荐")))</f>
      </c>
    </row>
    <row r="21" ht="24" customHeight="1">
      <c r="A21" s="4">
        <f>RANK(L21,$L$5:$L$23,0)</f>
      </c>
      <c r="B21" s="4"/>
      <c r="C21" s="4"/>
      <c r="D21" s="4"/>
      <c r="E21" s="4"/>
      <c r="F21" s="4">
        <f>'单人评价页'!B5+'单人评价页'!B7+'单人评价页'!B8</f>
      </c>
      <c r="G21" s="4">
        <f>'单人评价页'!B6+'单人评价页'!B9</f>
      </c>
      <c r="H21" s="4">
        <f>'单人评价页'!B7+'单人评价页'!B13</f>
      </c>
      <c r="I21" s="4">
        <f>'单人评价页'!B8</f>
      </c>
      <c r="J21" s="4">
        <f>'单人评价页'!B10</f>
      </c>
      <c r="K21" s="4">
        <f>'单人评价页'!B11+'单人评价页'!B12</f>
      </c>
      <c r="L21" s="8">
        <f>SUM(F21:K21)</f>
      </c>
      <c r="M21" s="4">
        <f>IF(L21&gt;=90,"强烈推荐",IF(L21&gt;=80,"推荐录用",IF(L21&gt;=70,"保留观察","不推荐")))</f>
      </c>
    </row>
    <row r="22" ht="24" customHeight="1">
      <c r="A22" s="5">
        <f>RANK(L22,$L$5:$L$23,0)</f>
      </c>
      <c r="B22" s="5"/>
      <c r="C22" s="5"/>
      <c r="D22" s="5"/>
      <c r="E22" s="5"/>
      <c r="F22" s="5">
        <f>'单人评价页'!B5+'单人评价页'!B7+'单人评价页'!B8</f>
      </c>
      <c r="G22" s="5">
        <f>'单人评价页'!B6+'单人评价页'!B9</f>
      </c>
      <c r="H22" s="5">
        <f>'单人评价页'!B7+'单人评价页'!B13</f>
      </c>
      <c r="I22" s="5">
        <f>'单人评价页'!B8</f>
      </c>
      <c r="J22" s="5">
        <f>'单人评价页'!B10</f>
      </c>
      <c r="K22" s="5">
        <f>'单人评价页'!B11+'单人评价页'!B12</f>
      </c>
      <c r="L22" s="8">
        <f>SUM(F22:K22)</f>
      </c>
      <c r="M22" s="5">
        <f>IF(L22&gt;=90,"强烈推荐",IF(L22&gt;=80,"推荐录用",IF(L22&gt;=70,"保留观察","不推荐")))</f>
      </c>
    </row>
    <row r="23" ht="24" customHeight="1">
      <c r="A23" s="4">
        <f>RANK(L23,$L$5:$L$23,0)</f>
      </c>
      <c r="B23" s="4"/>
      <c r="C23" s="4"/>
      <c r="D23" s="4"/>
      <c r="E23" s="4"/>
      <c r="F23" s="4">
        <f>'单人评价页'!B5+'单人评价页'!B7+'单人评价页'!B8</f>
      </c>
      <c r="G23" s="4">
        <f>'单人评价页'!B6+'单人评价页'!B9</f>
      </c>
      <c r="H23" s="4">
        <f>'单人评价页'!B7+'单人评价页'!B13</f>
      </c>
      <c r="I23" s="4">
        <f>'单人评价页'!B8</f>
      </c>
      <c r="J23" s="4">
        <f>'单人评价页'!B10</f>
      </c>
      <c r="K23" s="4">
        <f>'单人评价页'!B11+'单人评价页'!B12</f>
      </c>
      <c r="L23" s="8">
        <f>SUM(F23:K23)</f>
      </c>
      <c r="M23" s="4">
        <f>IF(L23&gt;=90,"强烈推荐",IF(L23&gt;=80,"推荐录用",IF(L23&gt;=70,"保留观察","不推荐")))</f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min="1" max="1" width="26" customWidth="1"/>
    <col min="2" max="2" width="14" customWidth="1"/>
    <col min="3" max="3" width="48" customWidth="1"/>
    <col min="4" max="6" width="14" customWidth="1"/>
  </cols>
  <sheetData>
    <row r="1" ht="40" customHeight="1">
      <c r="A1" s="1" t="s">
        <v>15</v>
      </c>
      <c r="B1" s="1"/>
      <c r="C1" s="1"/>
    </row>
    <row r="2" ht="20" customHeight="1">
      <c r="A2" s="2" t="s">
        <v>16</v>
      </c>
    </row>
    <row r="3" ht="24" customHeight="1">
      <c r="A3" s="9" t="s">
        <v>17</v>
      </c>
    </row>
    <row r="4" ht="26" customHeight="1">
      <c r="A4" s="12" t="s">
        <v>18</v>
      </c>
      <c r="B4" s="13"/>
      <c r="C4" s="12" t="s">
        <v>19</v>
      </c>
      <c r="D4" s="13"/>
      <c r="E4" s="12" t="s">
        <v>20</v>
      </c>
      <c r="F4" s="13"/>
    </row>
    <row r="5" ht="8" customHeight="1">
      <c r="A5"/>
    </row>
    <row r="6" ht="24" customHeight="1">
      <c r="A6" s="9" t="s">
        <v>21</v>
      </c>
      <c r="B6" s="9" t="s">
        <v>22</v>
      </c>
      <c r="C6" s="9" t="s">
        <v>22</v>
      </c>
    </row>
    <row r="7" ht="26" customHeight="1">
      <c r="A7" s="3" t="s">
        <v>21</v>
      </c>
      <c r="B7" s="3" t="s">
        <v>23</v>
      </c>
      <c r="C7" s="3" t="s">
        <v>24</v>
      </c>
    </row>
    <row r="8" ht="24" customHeight="1">
      <c r="A8" s="6" t="s">
        <v>25</v>
      </c>
      <c r="B8" s="14">
        <v>0</v>
      </c>
      <c r="C8" s="6" t="s">
        <v>26</v>
      </c>
    </row>
    <row r="9" ht="24" customHeight="1">
      <c r="A9" s="7" t="s">
        <v>27</v>
      </c>
      <c r="B9" s="14">
        <v>0</v>
      </c>
      <c r="C9" s="7" t="s">
        <v>28</v>
      </c>
    </row>
    <row r="10" ht="24" customHeight="1">
      <c r="A10" s="6" t="s">
        <v>29</v>
      </c>
      <c r="B10" s="14">
        <v>0</v>
      </c>
      <c r="C10" s="6" t="s">
        <v>30</v>
      </c>
    </row>
    <row r="11" ht="24" customHeight="1">
      <c r="A11" s="7" t="s">
        <v>31</v>
      </c>
      <c r="B11" s="14">
        <v>0</v>
      </c>
      <c r="C11" s="7" t="s">
        <v>32</v>
      </c>
    </row>
    <row r="12" ht="24" customHeight="1">
      <c r="A12" s="6" t="s">
        <v>33</v>
      </c>
      <c r="B12" s="14">
        <v>0</v>
      </c>
      <c r="C12" s="6" t="s">
        <v>34</v>
      </c>
    </row>
    <row r="13" ht="24" customHeight="1">
      <c r="A13" s="7" t="s">
        <v>35</v>
      </c>
      <c r="B13" s="14">
        <v>0</v>
      </c>
      <c r="C13" s="7" t="s">
        <v>36</v>
      </c>
    </row>
    <row r="14" ht="24" customHeight="1">
      <c r="A14" s="6" t="s">
        <v>37</v>
      </c>
      <c r="B14" s="14">
        <v>0</v>
      </c>
      <c r="C14" s="6" t="s">
        <v>38</v>
      </c>
    </row>
    <row r="15" ht="24" customHeight="1">
      <c r="A15" s="7" t="s">
        <v>39</v>
      </c>
      <c r="B15" s="14">
        <v>0</v>
      </c>
      <c r="C15" s="7" t="s">
        <v>40</v>
      </c>
    </row>
    <row r="16" ht="24" customHeight="1">
      <c r="A16" s="6" t="s">
        <v>41</v>
      </c>
      <c r="B16" s="14">
        <v>0</v>
      </c>
      <c r="C16" s="6" t="s">
        <v>42</v>
      </c>
    </row>
    <row r="17" ht="24" customHeight="1">
      <c r="A17" s="7" t="s">
        <v>43</v>
      </c>
      <c r="B17" s="14">
        <v>0</v>
      </c>
      <c r="C17" s="7" t="s">
        <v>44</v>
      </c>
    </row>
    <row r="18" ht="24" customHeight="1">
      <c r="A18" s="6" t="s">
        <v>45</v>
      </c>
      <c r="B18" s="14">
        <v>0</v>
      </c>
      <c r="C18" s="6" t="s">
        <v>46</v>
      </c>
    </row>
    <row r="19" ht="24" customHeight="1">
      <c r="A19" s="7" t="s">
        <v>47</v>
      </c>
      <c r="B19" s="14">
        <v>0</v>
      </c>
      <c r="C19" s="7" t="s">
        <v>48</v>
      </c>
    </row>
    <row r="20" ht="8" customHeight="1">
      <c r="A20"/>
    </row>
    <row r="21" ht="24" customHeight="1">
      <c r="A21" s="9" t="s">
        <v>49</v>
      </c>
    </row>
    <row r="22" ht="28" customHeight="1">
      <c r="A22" s="8" t="s">
        <v>50</v>
      </c>
      <c r="B22" s="8">
        <f>SUM(B8:B19)</f>
      </c>
      <c r="C22" s="10" t="s">
        <v>51</v>
      </c>
    </row>
    <row r="23" ht="8" customHeight="1">
      <c r="A23"/>
    </row>
    <row r="24" ht="24" customHeight="1">
      <c r="A24" s="9" t="s">
        <v>52</v>
      </c>
    </row>
    <row r="25" ht="60" customHeight="1">
      <c r="A25" s="13"/>
      <c r="B25" s="13"/>
      <c r="C25" s="13"/>
    </row>
    <row r="26" ht="8" customHeight="1">
      <c r="A26"/>
    </row>
    <row r="27" ht="26" customHeight="1">
      <c r="A27" s="12" t="s">
        <v>53</v>
      </c>
      <c r="B27" s="13"/>
      <c r="C27" s="12" t="s">
        <v>54</v>
      </c>
    </row>
    <row r="28" ht="18" customHeight="1">
      <c r="A28" s="10" t="s">
        <v>55</v>
      </c>
    </row>
  </sheetData>
</worksheet>
</file>